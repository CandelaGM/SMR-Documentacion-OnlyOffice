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<sst xmlns="http://schemas.openxmlformats.org/spreadsheetml/2006/main" count="17" uniqueCount="17">
  <si>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 xml:space="preserve">ID Componente</t>
  </si>
  <si>
    <t>Descripción</t>
  </si>
  <si>
    <t>Cantidad</t>
  </si>
  <si>
    <t xml:space="preserve">Precio Unitario</t>
  </si>
  <si>
    <t>Subtotal</t>
  </si>
  <si>
    <t xml:space="preserve">IVA (21%)</t>
  </si>
  <si>
    <t>TOTAL</t>
  </si>
  <si>
    <t xml:space="preserve">Tarjeta gráfica GTX </t>
  </si>
  <si>
    <t xml:space="preserve">Procesador Intel i5</t>
  </si>
  <si>
    <t>Monitor</t>
  </si>
  <si>
    <t xml:space="preserve">Placa Base</t>
  </si>
  <si>
    <t xml:space="preserve">SSD 1TB</t>
  </si>
  <si>
    <t xml:space="preserve">Fuente 650W</t>
  </si>
  <si>
    <t xml:space="preserve">RAM 16GB</t>
  </si>
  <si>
    <t xml:space="preserve">Disco duro 2TB</t>
  </si>
  <si>
    <t xml:space="preserve">Teclado mecánico</t>
  </si>
  <si>
    <t xml:space="preserve">Ratón óptico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</si>
</sst>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#,##0 \€;[Red]-#,##0 \€"/>
    <numFmt numFmtId="165" formatCode="#,##0\ [$€-A]"/>
    <numFmt numFmtId="166" formatCode="_-* #,##0.00\ [$€-A]_-;\-* #,##0.00\ [$€-A]_-;_-* &quot;-&quot;??\ [$€-A]_-;_-@_-"/>
  </numFmts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9">
    <xf fontId="0" fillId="0" borderId="0" numFmtId="0" xfId="0"/>
    <xf fontId="0" fillId="0" borderId="0" numFmtId="0" xfId="0">
      <protection locked="0"/>
    </xf>
    <xf fontId="0" fillId="0" borderId="0" numFmtId="0" xfId="0" applyAlignment="1">
      <alignment horizontal="center" vertical="center"/>
      <protection locked="0"/>
    </xf>
    <xf fontId="0" fillId="0" borderId="0" numFmtId="0" xfId="0" applyAlignment="1">
      <alignment horizontal="center" vertical="center"/>
      <protection locked="1"/>
    </xf>
    <xf fontId="0" fillId="0" borderId="0" numFmtId="164" xfId="0" applyNumberFormat="1">
      <protection locked="0"/>
    </xf>
    <xf fontId="0" fillId="0" borderId="0" numFmtId="165" xfId="0" applyNumberFormat="1">
      <protection locked="1"/>
    </xf>
    <xf fontId="0" fillId="0" borderId="0" numFmtId="166" xfId="1" applyNumberFormat="1">
      <protection locked="1"/>
    </xf>
    <xf fontId="0" fillId="0" borderId="0" numFmtId="165" xfId="0" applyNumberFormat="1">
      <protection locked="0"/>
    </xf>
    <xf fontId="0" fillId="0" borderId="0" numFmtId="166" xfId="1" applyNumberFormat="1">
      <protection locked="0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 bwMode="auto">
        <a:prstGeom prst="rect">
          <a:avLst/>
        </a:prstGeom>
        <a:noFill/>
        <a:ln>
          <a:noFill/>
        </a:ln>
      </c:spPr>
    </c:floor>
    <c:sideWall>
      <c:thickness val="0"/>
      <c:spPr bwMode="auto">
        <a:prstGeom prst="rect">
          <a:avLst/>
        </a:prstGeom>
        <a:noFill/>
        <a:ln>
          <a:noFill/>
        </a:ln>
      </c:spPr>
    </c:sideWall>
    <c:backWall>
      <c:thickness val="0"/>
      <c:spPr bwMode="auto">
        <a:prstGeom prst="rect">
          <a:avLst/>
        </a:prstGeom>
        <a:noFill/>
        <a:ln>
          <a:noFill/>
        </a:ln>
      </c:spPr>
    </c:backWall>
    <c:plotArea>
      <c:layout>
        <c:manualLayout/>
      </c:layout>
      <c:bar3DChart>
        <c:barDir val="bar"/>
        <c:grouping val="stack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Descripción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val>
            <c:numRef>
              <c:f>Hoja1!$B$2:$B$11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Hoja1!$G$1</c:f>
              <c:strCache>
                <c:ptCount val="1"/>
                <c:pt idx="0">
                  <c:v>TOTAL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val>
            <c:numRef>
              <c:f>Hoja1!$G$2:$G$11</c:f>
              <c:numCache>
                <c:formatCode>#,##0\ [$€-A]</c:formatCode>
                <c:ptCount val="8"/>
                <c:pt idx="0">
                  <c:v>1210</c:v>
                </c:pt>
                <c:pt idx="1">
                  <c:v>484</c:v>
                </c:pt>
                <c:pt idx="2">
                  <c:v>1270.5</c:v>
                </c:pt>
                <c:pt idx="3">
                  <c:v>726</c:v>
                </c:pt>
                <c:pt idx="4">
                  <c:v>968</c:v>
                </c:pt>
                <c:pt idx="5">
                  <c:v>580.8</c:v>
                </c:pt>
                <c:pt idx="6">
                  <c:v>181.5</c:v>
                </c:pt>
                <c:pt idx="7">
                  <c:v>363</c:v>
                </c:pt>
              </c:numCache>
            </c:numRef>
          </c:val>
        </c:ser>
        <c:gapWidth val="150"/>
        <c:axId val="2140841499"/>
        <c:axId val="2140841500"/>
      </c:bar3DChart>
      <c:catAx>
        <c:axId val="21408414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00"/>
        <c:crosses val="autoZero"/>
        <c:auto val="1"/>
        <c:lblAlgn val="ctr"/>
        <c:lblOffset val="100"/>
        <c:noMultiLvlLbl val="0"/>
      </c:catAx>
      <c:valAx>
        <c:axId val="214084150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49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1066799" y="1976437"/>
      <a:ext cx="5086349" cy="336708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1066799</xdr:colOff>
      <xdr:row>12</xdr:row>
      <xdr:rowOff>166687</xdr:rowOff>
    </xdr:from>
    <xdr:to>
      <xdr:col>6</xdr:col>
      <xdr:colOff>571499</xdr:colOff>
      <xdr:row>31</xdr:row>
      <xdr:rowOff>95249</xdr:rowOff>
    </xdr:to>
    <xdr:graphicFrame>
      <xdr:nvGraphicFramePr>
        <xdr:cNvPr id="1279958715" name=""/>
        <xdr:cNvGraphicFramePr>
          <a:graphicFrameLocks xmlns:a="http://schemas.openxmlformats.org/drawingml/2006/main"/>
        </xdr:cNvGraphicFramePr>
      </xdr:nvGraphicFramePr>
      <xdr:xfrm rot="0" flipH="0" flipV="0">
        <a:off x="1066799" y="1976437"/>
        <a:ext cx="5086349" cy="336708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1" ref="$A$1:$G$11">
  <autoFilter ref="$A$1:$G$11">
    <filterColumn colId="2">
      <customFilters and="1">
        <customFilter operator="greaterThan" val="1"/>
      </customFilters>
    </filterColumn>
  </autoFilter>
  <sortState ref="A2:G11">
    <sortCondition descending="1" ref="D1:D11"/>
  </sortState>
  <tableColumns count="7">
    <tableColumn id="1" name="ID Componente"/>
    <tableColumn id="2" name="Descripción"/>
    <tableColumn id="3" name="Cantidad"/>
    <tableColumn id="4" name="Precio Unitario"/>
    <tableColumn id="5" name="Subtotal"/>
    <tableColumn id="6" name="IVA (21%)"/>
    <tableColumn id="7" name="TOTAL"/>
  </tableColumns>
  <tableStyleInfo name="TableStyleMedium5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style="1" width="16.7109375"/>
    <col customWidth="1" min="2" max="2" style="1" width="17.421875"/>
    <col bestFit="1" min="3" max="3" style="1" width="11.00390625"/>
    <col bestFit="1" customWidth="1" min="4" max="4" style="1" width="16.28125"/>
    <col bestFit="1" min="5" max="5" style="1" width="10.57421875"/>
    <col bestFit="1" min="6" max="6" style="1" width="11.7109375"/>
    <col min="7" max="16384" style="1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14.25">
      <c r="A2" s="1">
        <v>6</v>
      </c>
      <c r="B2" s="1" t="s">
        <v>7</v>
      </c>
      <c r="C2" s="1">
        <v>4</v>
      </c>
      <c r="D2" s="4">
        <v>250</v>
      </c>
      <c r="E2" s="5">
        <f>C2*D2</f>
        <v>1000</v>
      </c>
      <c r="F2" s="6">
        <f>Tabla1[[#This Row],[Subtotal]]*0.21</f>
        <v>210</v>
      </c>
      <c r="G2" s="5">
        <f>SUM(Tabla1[[#This Row],[Subtotal]]+Tabla1[[#This Row],[IVA (21%)]])</f>
        <v>1210</v>
      </c>
    </row>
    <row r="3" ht="14.25">
      <c r="A3" s="1">
        <v>2</v>
      </c>
      <c r="B3" s="1" t="s">
        <v>8</v>
      </c>
      <c r="C3" s="1">
        <v>2</v>
      </c>
      <c r="D3" s="4">
        <v>200</v>
      </c>
      <c r="E3" s="5">
        <f>C3*D3</f>
        <v>400</v>
      </c>
      <c r="F3" s="6">
        <f>Tabla1[[#This Row],[Subtotal]]*0.21</f>
        <v>84</v>
      </c>
      <c r="G3" s="5">
        <f>SUM(Tabla1[[#This Row],[Subtotal]]+Tabla1[[#This Row],[IVA (21%)]])</f>
        <v>484</v>
      </c>
    </row>
    <row r="4" ht="14.25">
      <c r="A4" s="1">
        <v>7</v>
      </c>
      <c r="B4" s="1" t="s">
        <v>9</v>
      </c>
      <c r="C4" s="1">
        <v>7</v>
      </c>
      <c r="D4" s="4">
        <v>150</v>
      </c>
      <c r="E4" s="5">
        <f>C4*D4</f>
        <v>1050</v>
      </c>
      <c r="F4" s="6">
        <f>Tabla1[[#This Row],[Subtotal]]*0.21</f>
        <v>220.5</v>
      </c>
      <c r="G4" s="5">
        <f>SUM(Tabla1[[#This Row],[Subtotal]]+Tabla1[[#This Row],[IVA (21%)]])</f>
        <v>1270.5</v>
      </c>
    </row>
    <row r="5" ht="14.25">
      <c r="A5" s="1">
        <v>1</v>
      </c>
      <c r="B5" s="1" t="s">
        <v>10</v>
      </c>
      <c r="C5" s="1">
        <v>5</v>
      </c>
      <c r="D5" s="4">
        <v>120</v>
      </c>
      <c r="E5" s="5">
        <f>C5*D5</f>
        <v>600</v>
      </c>
      <c r="F5" s="6">
        <f>Tabla1[[#This Row],[Subtotal]]*0.21</f>
        <v>126</v>
      </c>
      <c r="G5" s="5">
        <f>SUM(Tabla1[[#This Row],[Subtotal]]+Tabla1[[#This Row],[IVA (21%)]])</f>
        <v>726</v>
      </c>
    </row>
    <row r="6" ht="14.25">
      <c r="A6" s="1">
        <v>4</v>
      </c>
      <c r="B6" s="1" t="s">
        <v>11</v>
      </c>
      <c r="C6" s="1">
        <v>8</v>
      </c>
      <c r="D6" s="4">
        <v>100</v>
      </c>
      <c r="E6" s="5">
        <f>C6*D6</f>
        <v>800</v>
      </c>
      <c r="F6" s="6">
        <f>Tabla1[[#This Row],[Subtotal]]*0.21</f>
        <v>168</v>
      </c>
      <c r="G6" s="5">
        <f>SUM(Tabla1[[#This Row],[Subtotal]]+Tabla1[[#This Row],[IVA (21%)]])</f>
        <v>968</v>
      </c>
    </row>
    <row r="7" ht="14.25">
      <c r="A7" s="1">
        <v>10</v>
      </c>
      <c r="B7" s="1" t="s">
        <v>12</v>
      </c>
      <c r="C7" s="1">
        <v>6</v>
      </c>
      <c r="D7" s="4">
        <v>80</v>
      </c>
      <c r="E7" s="5">
        <f>C7*D7</f>
        <v>480</v>
      </c>
      <c r="F7" s="6">
        <f>Tabla1[[#This Row],[Subtotal]]*0.21</f>
        <v>100.8</v>
      </c>
      <c r="G7" s="5">
        <f>SUM(Tabla1[[#This Row],[Subtotal]]+Tabla1[[#This Row],[IVA (21%)]])</f>
        <v>580.79999999999995</v>
      </c>
    </row>
    <row r="8" ht="14.25">
      <c r="A8" s="1">
        <v>3</v>
      </c>
      <c r="B8" s="1" t="s">
        <v>13</v>
      </c>
      <c r="C8" s="1">
        <v>2</v>
      </c>
      <c r="D8" s="4">
        <v>75</v>
      </c>
      <c r="E8" s="5">
        <f>C8*D8</f>
        <v>150</v>
      </c>
      <c r="F8" s="6">
        <f>Tabla1[[#This Row],[Subtotal]]*0.21</f>
        <v>31.5</v>
      </c>
      <c r="G8" s="5">
        <f>SUM(Tabla1[[#This Row],[Subtotal]]+Tabla1[[#This Row],[IVA (21%)]])</f>
        <v>181.5</v>
      </c>
    </row>
    <row r="9" ht="14.25" hidden="1">
      <c r="A9" s="1">
        <v>5</v>
      </c>
      <c r="B9" s="1" t="s">
        <v>14</v>
      </c>
      <c r="C9" s="1">
        <v>1</v>
      </c>
      <c r="D9" s="4">
        <v>60</v>
      </c>
      <c r="E9" s="7">
        <f>C9*D9</f>
        <v>60</v>
      </c>
      <c r="F9" s="8">
        <f>Tabla1[[#This Row],[Subtotal]]*0.21</f>
        <v>12.6</v>
      </c>
      <c r="G9" s="7">
        <f>SUM(Tabla1[[#This Row],[Subtotal]]+Tabla1[[#This Row],[IVA (21%)]])</f>
        <v>72.599999999999994</v>
      </c>
    </row>
    <row r="10" ht="14.25" hidden="1">
      <c r="A10" s="1">
        <v>8</v>
      </c>
      <c r="B10" s="1" t="s">
        <v>15</v>
      </c>
      <c r="C10" s="1">
        <v>1</v>
      </c>
      <c r="D10" s="4">
        <v>50</v>
      </c>
      <c r="E10" s="7">
        <f>C10*D10</f>
        <v>50</v>
      </c>
      <c r="F10" s="8">
        <f>Tabla1[[#This Row],[Subtotal]]*0.21</f>
        <v>10.5</v>
      </c>
      <c r="G10" s="7">
        <f>SUM(Tabla1[[#This Row],[Subtotal]]+Tabla1[[#This Row],[IVA (21%)]])</f>
        <v>60.5</v>
      </c>
    </row>
    <row r="11" ht="14.25">
      <c r="A11" s="1">
        <v>9</v>
      </c>
      <c r="B11" s="1" t="s">
        <v>16</v>
      </c>
      <c r="C11" s="1">
        <v>12</v>
      </c>
      <c r="D11" s="4">
        <v>25</v>
      </c>
      <c r="E11" s="5">
        <f>C11*D11</f>
        <v>300</v>
      </c>
      <c r="F11" s="6">
        <f>Tabla1[[#This Row],[Subtotal]]*0.21</f>
        <v>63</v>
      </c>
      <c r="G11" s="5">
        <f>SUM(Tabla1[[#This Row],[Subtotal]]+Tabla1[[#This Row],[IVA (21%)]])</f>
        <v>363</v>
      </c>
    </row>
  </sheetData>
  <sheetProtection algorithmName="SHA-512" hashValue="B9NWOJOraYqJnxrUYBro/IoycdiUr3JXGCHlZuO/YqJhWf8c78Mz/gSBj9xRyk8oBlP4KBMNMPjBO0dxU6H99g==" saltValue="XW/LgauYqnQcaTue8WXVmw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conditionalFormatting sqref="G2:G11">
    <cfRule type="cellIs" priority="1" operator="greaterThan">
      <formula>200</formula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00AB004E-0086-4FB8-AC1D-00D3007C00C5}">
            <xm:f>200</xm:f>
            <x14:dxf>
              <font>
                <color indexed="2"/>
              </font>
            </x14:dxf>
          </x14:cfRule>
          <xm:sqref>G1:G11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Candela Gonzalez Morales</cp:lastModifiedBy>
  <cp:revision>1</cp:revision>
  <dcterms:modified xsi:type="dcterms:W3CDTF">2026-02-18T12:35:02Z</dcterms:modified>
</cp:coreProperties>
</file>